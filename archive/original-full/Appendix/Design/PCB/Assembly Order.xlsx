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PS Assembly Plan" sheetId="1" r:id="rId4"/>
  </sheets>
  <definedNames/>
  <calcPr/>
  <extLst>
    <ext uri="GoogleSheetsCustomDataVersion2">
      <go:sheetsCustomData xmlns:go="http://customooxmlschemas.google.com/" r:id="rId5" roundtripDataChecksum="oGyASeKjAG0mlXWt1NjVKt4u+cW6Q3MaOl+Q9ZMaBq8="/>
    </ext>
  </extLst>
</workbook>
</file>

<file path=xl/sharedStrings.xml><?xml version="1.0" encoding="utf-8"?>
<sst xmlns="http://schemas.openxmlformats.org/spreadsheetml/2006/main" count="171" uniqueCount="131">
  <si>
    <t>CONTROL (PLACE FIRST)</t>
  </si>
  <si>
    <t>MEDIUM SMD</t>
  </si>
  <si>
    <t>✓</t>
  </si>
  <si>
    <t>Designator</t>
  </si>
  <si>
    <t>Part</t>
  </si>
  <si>
    <t>MPN</t>
  </si>
  <si>
    <t>U3</t>
  </si>
  <si>
    <t>TL431</t>
  </si>
  <si>
    <t>TL431ASA-7</t>
  </si>
  <si>
    <t>R10</t>
  </si>
  <si>
    <t>15k</t>
  </si>
  <si>
    <t>MCT0603PD1502DP500</t>
  </si>
  <si>
    <t>Q1</t>
  </si>
  <si>
    <t>Optocoupler</t>
  </si>
  <si>
    <t>LTV-817S-TA1-D</t>
  </si>
  <si>
    <t>R5</t>
  </si>
  <si>
    <t>1M 0201</t>
  </si>
  <si>
    <t>CRCW02011M00FKED</t>
  </si>
  <si>
    <t>U2</t>
  </si>
  <si>
    <t>TinySwitch</t>
  </si>
  <si>
    <t>TNY285PG</t>
  </si>
  <si>
    <t>R1</t>
  </si>
  <si>
    <t>3.3Ω 2010</t>
  </si>
  <si>
    <t>RPC2010JT3R30</t>
  </si>
  <si>
    <t>U1</t>
  </si>
  <si>
    <t>USB ESD</t>
  </si>
  <si>
    <t>TPD2EUSB30ADRTR</t>
  </si>
  <si>
    <t>R8</t>
  </si>
  <si>
    <t>10Ω power</t>
  </si>
  <si>
    <t>LTR100JZPJ100</t>
  </si>
  <si>
    <t>R7,R13</t>
  </si>
  <si>
    <t>4.7k 0402</t>
  </si>
  <si>
    <t>RC0402JR-074K7L</t>
  </si>
  <si>
    <t>R4,R6</t>
  </si>
  <si>
    <t>220k</t>
  </si>
  <si>
    <t>CRGCQ2512F220K</t>
  </si>
  <si>
    <t>R9,R12</t>
  </si>
  <si>
    <t>2.67M 0402</t>
  </si>
  <si>
    <t>RC0402FR-072M67L</t>
  </si>
  <si>
    <t>C2</t>
  </si>
  <si>
    <t>2.2nF 2kV</t>
  </si>
  <si>
    <t>CGA8K1X7R3D222K130KA</t>
  </si>
  <si>
    <t>R3,R14</t>
  </si>
  <si>
    <t>0Ω jumper</t>
  </si>
  <si>
    <t>MCT06030Z0000ZPW00</t>
  </si>
  <si>
    <t>C3,C13</t>
  </si>
  <si>
    <t>0.1µF</t>
  </si>
  <si>
    <t>12061C104JAT2A</t>
  </si>
  <si>
    <t>R11</t>
  </si>
  <si>
    <t>1k 0603</t>
  </si>
  <si>
    <t>RK73H1JRTTD1001D</t>
  </si>
  <si>
    <t>C4</t>
  </si>
  <si>
    <t>1µF</t>
  </si>
  <si>
    <t>C1206C105K4PACTU</t>
  </si>
  <si>
    <t>C11,C14</t>
  </si>
  <si>
    <t>1000pF</t>
  </si>
  <si>
    <t>GRM21B5C2J102JWA3L</t>
  </si>
  <si>
    <t>F2</t>
  </si>
  <si>
    <t>PTC fuse</t>
  </si>
  <si>
    <t>1206L110THYR</t>
  </si>
  <si>
    <t>C16</t>
  </si>
  <si>
    <t>2200pF</t>
  </si>
  <si>
    <t>C0805C222K5RACTM</t>
  </si>
  <si>
    <t>L1</t>
  </si>
  <si>
    <t>Inductor</t>
  </si>
  <si>
    <t>7447773102</t>
  </si>
  <si>
    <t xml:space="preserve">✓
</t>
  </si>
  <si>
    <t>C10</t>
  </si>
  <si>
    <t>4.7µF</t>
  </si>
  <si>
    <t>C2012X5R1V475K125AC</t>
  </si>
  <si>
    <t>L2</t>
  </si>
  <si>
    <t>74477130</t>
  </si>
  <si>
    <t>C1</t>
  </si>
  <si>
    <t>3.3nF</t>
  </si>
  <si>
    <t>08053C332KAT2A</t>
  </si>
  <si>
    <t>D2</t>
  </si>
  <si>
    <t>Diode</t>
  </si>
  <si>
    <t>S1ML</t>
  </si>
  <si>
    <t>POWER SMD</t>
  </si>
  <si>
    <t>DO LATER (HOME)</t>
  </si>
  <si>
    <t>D3,D4</t>
  </si>
  <si>
    <t>Schottky</t>
  </si>
  <si>
    <t>FSV1060V</t>
  </si>
  <si>
    <t>C5,C9</t>
  </si>
  <si>
    <t>22µF 400V</t>
  </si>
  <si>
    <t>ECA2GHG220</t>
  </si>
  <si>
    <t>CR1</t>
  </si>
  <si>
    <t>TVS</t>
  </si>
  <si>
    <t>SMBJ250A</t>
  </si>
  <si>
    <t>C8</t>
  </si>
  <si>
    <t>X2 cap</t>
  </si>
  <si>
    <t>B32921C3104M000</t>
  </si>
  <si>
    <t>C6</t>
  </si>
  <si>
    <t>1000µF</t>
  </si>
  <si>
    <t>16SVF1000MX</t>
  </si>
  <si>
    <t>C15</t>
  </si>
  <si>
    <t>Y cap</t>
  </si>
  <si>
    <t>VY1222M47Y5UQ6TV0</t>
  </si>
  <si>
    <t>C7</t>
  </si>
  <si>
    <t>470µF</t>
  </si>
  <si>
    <t>EEHZS1V471UV</t>
  </si>
  <si>
    <t>D1</t>
  </si>
  <si>
    <t>Bridge</t>
  </si>
  <si>
    <t>DF06S</t>
  </si>
  <si>
    <t>C12</t>
  </si>
  <si>
    <t>10µF</t>
  </si>
  <si>
    <t>865080642006</t>
  </si>
  <si>
    <t>J1</t>
  </si>
  <si>
    <t>USB-A</t>
  </si>
  <si>
    <t>292303-1</t>
  </si>
  <si>
    <t>J2</t>
  </si>
  <si>
    <t>Terminal</t>
  </si>
  <si>
    <t>691254410002</t>
  </si>
  <si>
    <t>J3</t>
  </si>
  <si>
    <t>Test point white</t>
  </si>
  <si>
    <t>5002</t>
  </si>
  <si>
    <t>J4</t>
  </si>
  <si>
    <t>Test point orange</t>
  </si>
  <si>
    <t>5003</t>
  </si>
  <si>
    <t>Through-hole</t>
  </si>
  <si>
    <t>L3</t>
  </si>
  <si>
    <t>Choke</t>
  </si>
  <si>
    <t>7446823003</t>
  </si>
  <si>
    <t>SMD</t>
  </si>
  <si>
    <t>F1</t>
  </si>
  <si>
    <t>Fuse holder</t>
  </si>
  <si>
    <t>64600001223</t>
  </si>
  <si>
    <t>Total</t>
  </si>
  <si>
    <t>R2</t>
  </si>
  <si>
    <t>MOV</t>
  </si>
  <si>
    <t>ISOM8-275-B-L2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</si>
</sst>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Tahoma"/>
    </font>
    <font/>
    <font>
      <sz val="11.0"/>
      <color theme="1"/>
      <name val="Tahoma"/>
    </font>
    <font>
      <b/>
      <sz val="11.0"/>
      <color rgb="FF000000"/>
      <name val="Tahoma"/>
    </font>
    <font>
      <sz val="11.0"/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17375E"/>
        <bgColor rgb="FF17375E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readingOrder="0" vertical="center"/>
    </xf>
    <xf borderId="4" fillId="4" fontId="5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8.0"/>
    <col customWidth="1" min="4" max="4" width="26.0"/>
    <col customWidth="1" min="5" max="6" width="4.0"/>
    <col customWidth="1" min="7" max="7" width="5.0"/>
    <col customWidth="1" min="8" max="8" width="16.0"/>
    <col customWidth="1" min="9" max="9" width="18.0"/>
    <col customWidth="1" min="10" max="10" width="29.29"/>
    <col customWidth="1" min="11" max="26" width="8.71"/>
  </cols>
  <sheetData>
    <row r="1" ht="21.75" customHeight="1">
      <c r="A1" s="1" t="s">
        <v>0</v>
      </c>
      <c r="B1" s="2"/>
      <c r="C1" s="2"/>
      <c r="D1" s="3"/>
      <c r="E1" s="4"/>
      <c r="F1" s="4"/>
      <c r="G1" s="1" t="s">
        <v>1</v>
      </c>
      <c r="H1" s="2"/>
      <c r="I1" s="2"/>
      <c r="J1" s="3"/>
    </row>
    <row r="2" ht="21.75" customHeight="1">
      <c r="A2" s="5" t="s">
        <v>2</v>
      </c>
      <c r="B2" s="5" t="s">
        <v>3</v>
      </c>
      <c r="C2" s="5" t="s">
        <v>4</v>
      </c>
      <c r="D2" s="5" t="s">
        <v>5</v>
      </c>
      <c r="E2" s="4"/>
      <c r="F2" s="4"/>
      <c r="G2" s="5" t="s">
        <v>2</v>
      </c>
      <c r="H2" s="5" t="s">
        <v>3</v>
      </c>
      <c r="I2" s="5" t="s">
        <v>4</v>
      </c>
      <c r="J2" s="5" t="s">
        <v>5</v>
      </c>
    </row>
    <row r="3" ht="21.75" customHeight="1">
      <c r="A3" s="6" t="s">
        <v>2</v>
      </c>
      <c r="B3" s="7" t="s">
        <v>6</v>
      </c>
      <c r="C3" s="7" t="s">
        <v>7</v>
      </c>
      <c r="D3" s="7" t="s">
        <v>8</v>
      </c>
      <c r="E3" s="4"/>
      <c r="F3" s="4"/>
      <c r="G3" s="6" t="s">
        <v>2</v>
      </c>
      <c r="H3" s="7" t="s">
        <v>9</v>
      </c>
      <c r="I3" s="7" t="s">
        <v>10</v>
      </c>
      <c r="J3" s="7" t="s">
        <v>11</v>
      </c>
    </row>
    <row r="4" ht="21.75" customHeight="1">
      <c r="A4" s="6" t="s">
        <v>2</v>
      </c>
      <c r="B4" s="7" t="s">
        <v>12</v>
      </c>
      <c r="C4" s="7" t="s">
        <v>13</v>
      </c>
      <c r="D4" s="7" t="s">
        <v>14</v>
      </c>
      <c r="E4" s="4"/>
      <c r="F4" s="4"/>
      <c r="G4" s="6" t="s">
        <v>2</v>
      </c>
      <c r="H4" s="7" t="s">
        <v>15</v>
      </c>
      <c r="I4" s="7" t="s">
        <v>16</v>
      </c>
      <c r="J4" s="7" t="s">
        <v>17</v>
      </c>
    </row>
    <row r="5" ht="21.75" customHeight="1">
      <c r="A5" s="6"/>
      <c r="B5" s="7" t="s">
        <v>18</v>
      </c>
      <c r="C5" s="7" t="s">
        <v>19</v>
      </c>
      <c r="D5" s="7" t="s">
        <v>20</v>
      </c>
      <c r="E5" s="4"/>
      <c r="F5" s="4"/>
      <c r="G5" s="6" t="s">
        <v>2</v>
      </c>
      <c r="H5" s="7" t="s">
        <v>21</v>
      </c>
      <c r="I5" s="7" t="s">
        <v>22</v>
      </c>
      <c r="J5" s="7" t="s">
        <v>23</v>
      </c>
    </row>
    <row r="6" ht="21.75" customHeight="1">
      <c r="A6" s="6" t="s">
        <v>2</v>
      </c>
      <c r="B6" s="7" t="s">
        <v>24</v>
      </c>
      <c r="C6" s="7" t="s">
        <v>25</v>
      </c>
      <c r="D6" s="7" t="s">
        <v>26</v>
      </c>
      <c r="E6" s="4"/>
      <c r="F6" s="4"/>
      <c r="G6" s="6" t="s">
        <v>2</v>
      </c>
      <c r="H6" s="7" t="s">
        <v>27</v>
      </c>
      <c r="I6" s="7" t="s">
        <v>28</v>
      </c>
      <c r="J6" s="7" t="s">
        <v>29</v>
      </c>
    </row>
    <row r="7" ht="21.75" customHeight="1">
      <c r="A7" s="6" t="s">
        <v>2</v>
      </c>
      <c r="B7" s="7" t="s">
        <v>30</v>
      </c>
      <c r="C7" s="7" t="s">
        <v>31</v>
      </c>
      <c r="D7" s="7" t="s">
        <v>32</v>
      </c>
      <c r="E7" s="4"/>
      <c r="F7" s="4"/>
      <c r="G7" s="6" t="s">
        <v>2</v>
      </c>
      <c r="H7" s="7" t="s">
        <v>33</v>
      </c>
      <c r="I7" s="7" t="s">
        <v>34</v>
      </c>
      <c r="J7" s="7" t="s">
        <v>35</v>
      </c>
    </row>
    <row r="8" ht="21.75" customHeight="1">
      <c r="A8" s="6" t="s">
        <v>2</v>
      </c>
      <c r="B8" s="7" t="s">
        <v>36</v>
      </c>
      <c r="C8" s="7" t="s">
        <v>37</v>
      </c>
      <c r="D8" s="7" t="s">
        <v>38</v>
      </c>
      <c r="E8" s="4"/>
      <c r="F8" s="4"/>
      <c r="G8" s="6" t="s">
        <v>2</v>
      </c>
      <c r="H8" s="8" t="s">
        <v>39</v>
      </c>
      <c r="I8" s="8" t="s">
        <v>40</v>
      </c>
      <c r="J8" s="8" t="s">
        <v>41</v>
      </c>
    </row>
    <row r="9" ht="21.75" customHeight="1">
      <c r="A9" s="6" t="s">
        <v>2</v>
      </c>
      <c r="B9" s="7" t="s">
        <v>42</v>
      </c>
      <c r="C9" s="7" t="s">
        <v>43</v>
      </c>
      <c r="D9" s="7" t="s">
        <v>44</v>
      </c>
      <c r="E9" s="4"/>
      <c r="F9" s="4"/>
      <c r="G9" s="6" t="s">
        <v>2</v>
      </c>
      <c r="H9" s="8" t="s">
        <v>45</v>
      </c>
      <c r="I9" s="8" t="s">
        <v>46</v>
      </c>
      <c r="J9" s="8" t="s">
        <v>47</v>
      </c>
    </row>
    <row r="10" ht="21.75" customHeight="1">
      <c r="A10" s="6" t="s">
        <v>2</v>
      </c>
      <c r="B10" s="7" t="s">
        <v>48</v>
      </c>
      <c r="C10" s="7" t="s">
        <v>49</v>
      </c>
      <c r="D10" s="7" t="s">
        <v>50</v>
      </c>
      <c r="E10" s="4"/>
      <c r="F10" s="4"/>
      <c r="G10" s="6" t="s">
        <v>2</v>
      </c>
      <c r="H10" s="8" t="s">
        <v>51</v>
      </c>
      <c r="I10" s="8" t="s">
        <v>52</v>
      </c>
      <c r="J10" s="8" t="s">
        <v>53</v>
      </c>
    </row>
    <row r="11" ht="21.75" customHeight="1">
      <c r="A11" s="6" t="s">
        <v>2</v>
      </c>
      <c r="B11" s="7" t="s">
        <v>54</v>
      </c>
      <c r="C11" s="7" t="s">
        <v>55</v>
      </c>
      <c r="D11" s="7" t="s">
        <v>56</v>
      </c>
      <c r="E11" s="4"/>
      <c r="F11" s="4"/>
      <c r="G11" s="6" t="s">
        <v>2</v>
      </c>
      <c r="H11" s="7" t="s">
        <v>57</v>
      </c>
      <c r="I11" s="7" t="s">
        <v>58</v>
      </c>
      <c r="J11" s="7" t="s">
        <v>59</v>
      </c>
    </row>
    <row r="12" ht="21.75" customHeight="1">
      <c r="A12" s="6" t="s">
        <v>2</v>
      </c>
      <c r="B12" s="7" t="s">
        <v>60</v>
      </c>
      <c r="C12" s="7" t="s">
        <v>61</v>
      </c>
      <c r="D12" s="7" t="s">
        <v>62</v>
      </c>
      <c r="E12" s="4"/>
      <c r="F12" s="4"/>
      <c r="G12" s="6" t="s">
        <v>2</v>
      </c>
      <c r="H12" s="7" t="s">
        <v>63</v>
      </c>
      <c r="I12" s="7" t="s">
        <v>64</v>
      </c>
      <c r="J12" s="7" t="s">
        <v>65</v>
      </c>
    </row>
    <row r="13" ht="21.75" customHeight="1">
      <c r="A13" s="6" t="s">
        <v>66</v>
      </c>
      <c r="B13" s="7" t="s">
        <v>67</v>
      </c>
      <c r="C13" s="7" t="s">
        <v>68</v>
      </c>
      <c r="D13" s="7" t="s">
        <v>69</v>
      </c>
      <c r="E13" s="4"/>
      <c r="F13" s="4"/>
      <c r="G13" s="6" t="s">
        <v>2</v>
      </c>
      <c r="H13" s="7" t="s">
        <v>70</v>
      </c>
      <c r="I13" s="7" t="s">
        <v>64</v>
      </c>
      <c r="J13" s="7" t="s">
        <v>71</v>
      </c>
    </row>
    <row r="14" ht="21.75" customHeight="1">
      <c r="A14" s="6" t="s">
        <v>2</v>
      </c>
      <c r="B14" s="7" t="s">
        <v>72</v>
      </c>
      <c r="C14" s="7" t="s">
        <v>73</v>
      </c>
      <c r="D14" s="7" t="s">
        <v>74</v>
      </c>
      <c r="E14" s="4"/>
      <c r="F14" s="4"/>
      <c r="G14" s="4"/>
      <c r="H14" s="4"/>
      <c r="I14" s="4"/>
      <c r="J14" s="4"/>
    </row>
    <row r="15" ht="21.75" customHeight="1">
      <c r="A15" s="6" t="s">
        <v>2</v>
      </c>
      <c r="B15" s="7" t="s">
        <v>75</v>
      </c>
      <c r="C15" s="7" t="s">
        <v>76</v>
      </c>
      <c r="D15" s="7" t="s">
        <v>77</v>
      </c>
      <c r="E15" s="4"/>
      <c r="F15" s="4"/>
      <c r="G15" s="4"/>
      <c r="H15" s="4"/>
      <c r="I15" s="4"/>
      <c r="J15" s="4"/>
    </row>
    <row r="16" ht="21.75" customHeight="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21.75" customHeight="1">
      <c r="A17" s="1" t="s">
        <v>78</v>
      </c>
      <c r="B17" s="2"/>
      <c r="C17" s="2"/>
      <c r="D17" s="3"/>
      <c r="E17" s="4"/>
      <c r="F17" s="4"/>
      <c r="G17" s="1" t="s">
        <v>79</v>
      </c>
      <c r="H17" s="2"/>
      <c r="I17" s="2"/>
      <c r="J17" s="3"/>
    </row>
    <row r="18" ht="21.75" customHeight="1">
      <c r="A18" s="5" t="s">
        <v>2</v>
      </c>
      <c r="B18" s="5" t="s">
        <v>3</v>
      </c>
      <c r="C18" s="5" t="s">
        <v>4</v>
      </c>
      <c r="D18" s="5" t="s">
        <v>5</v>
      </c>
      <c r="E18" s="4"/>
      <c r="F18" s="4"/>
      <c r="G18" s="5" t="s">
        <v>2</v>
      </c>
      <c r="H18" s="5" t="s">
        <v>3</v>
      </c>
      <c r="I18" s="5" t="s">
        <v>4</v>
      </c>
      <c r="J18" s="5" t="s">
        <v>5</v>
      </c>
    </row>
    <row r="19" ht="21.75" customHeight="1">
      <c r="A19" s="6" t="s">
        <v>2</v>
      </c>
      <c r="B19" s="7" t="s">
        <v>80</v>
      </c>
      <c r="C19" s="7" t="s">
        <v>81</v>
      </c>
      <c r="D19" s="7" t="s">
        <v>82</v>
      </c>
      <c r="E19" s="4"/>
      <c r="F19" s="4"/>
      <c r="G19" s="9"/>
      <c r="H19" s="9" t="s">
        <v>83</v>
      </c>
      <c r="I19" s="9" t="s">
        <v>84</v>
      </c>
      <c r="J19" s="9" t="s">
        <v>85</v>
      </c>
    </row>
    <row r="20" ht="21.75" customHeight="1">
      <c r="A20" s="6" t="s">
        <v>2</v>
      </c>
      <c r="B20" s="7" t="s">
        <v>86</v>
      </c>
      <c r="C20" s="7" t="s">
        <v>87</v>
      </c>
      <c r="D20" s="7" t="s">
        <v>88</v>
      </c>
      <c r="E20" s="4"/>
      <c r="F20" s="4"/>
      <c r="G20" s="9"/>
      <c r="H20" s="9" t="s">
        <v>89</v>
      </c>
      <c r="I20" s="9" t="s">
        <v>90</v>
      </c>
      <c r="J20" s="9" t="s">
        <v>91</v>
      </c>
    </row>
    <row r="21" ht="21.75" customHeight="1">
      <c r="A21" s="6" t="s">
        <v>2</v>
      </c>
      <c r="B21" s="7" t="s">
        <v>92</v>
      </c>
      <c r="C21" s="7" t="s">
        <v>93</v>
      </c>
      <c r="D21" s="7" t="s">
        <v>94</v>
      </c>
      <c r="E21" s="4"/>
      <c r="F21" s="4"/>
      <c r="G21" s="9"/>
      <c r="H21" s="9" t="s">
        <v>95</v>
      </c>
      <c r="I21" s="9" t="s">
        <v>96</v>
      </c>
      <c r="J21" s="9" t="s">
        <v>97</v>
      </c>
    </row>
    <row r="22" ht="21.75" customHeight="1">
      <c r="A22" s="6" t="s">
        <v>2</v>
      </c>
      <c r="B22" s="7" t="s">
        <v>98</v>
      </c>
      <c r="C22" s="7" t="s">
        <v>99</v>
      </c>
      <c r="D22" s="7" t="s">
        <v>100</v>
      </c>
      <c r="E22" s="4"/>
      <c r="F22" s="4"/>
      <c r="G22" s="9"/>
      <c r="H22" s="9" t="s">
        <v>101</v>
      </c>
      <c r="I22" s="9" t="s">
        <v>102</v>
      </c>
      <c r="J22" s="9" t="s">
        <v>103</v>
      </c>
    </row>
    <row r="23" ht="21.75" customHeight="1">
      <c r="A23" s="6" t="s">
        <v>2</v>
      </c>
      <c r="B23" s="7" t="s">
        <v>104</v>
      </c>
      <c r="C23" s="7" t="s">
        <v>105</v>
      </c>
      <c r="D23" s="7" t="s">
        <v>106</v>
      </c>
      <c r="E23" s="4"/>
      <c r="F23" s="4"/>
      <c r="G23" s="9"/>
      <c r="H23" s="9" t="s">
        <v>107</v>
      </c>
      <c r="I23" s="9" t="s">
        <v>108</v>
      </c>
      <c r="J23" s="9" t="s">
        <v>109</v>
      </c>
    </row>
    <row r="24" ht="21.75" customHeight="1">
      <c r="A24" s="4"/>
      <c r="B24" s="4"/>
      <c r="C24" s="4"/>
      <c r="D24" s="4"/>
      <c r="E24" s="4"/>
      <c r="F24" s="4"/>
      <c r="G24" s="9"/>
      <c r="H24" s="9" t="s">
        <v>110</v>
      </c>
      <c r="I24" s="9" t="s">
        <v>111</v>
      </c>
      <c r="J24" s="9" t="s">
        <v>112</v>
      </c>
    </row>
    <row r="25" ht="21.75" customHeight="1">
      <c r="A25" s="4"/>
      <c r="B25" s="4"/>
      <c r="C25" s="4"/>
      <c r="D25" s="4"/>
      <c r="E25" s="4"/>
      <c r="F25" s="4"/>
      <c r="G25" s="9"/>
      <c r="H25" s="9" t="s">
        <v>113</v>
      </c>
      <c r="I25" s="9" t="s">
        <v>114</v>
      </c>
      <c r="J25" s="9" t="s">
        <v>115</v>
      </c>
    </row>
    <row r="26" ht="21.75" customHeight="1">
      <c r="A26" s="4"/>
      <c r="B26" s="4"/>
      <c r="C26" s="4"/>
      <c r="D26" s="4"/>
      <c r="E26" s="4"/>
      <c r="F26" s="4"/>
      <c r="G26" s="9"/>
      <c r="H26" s="9" t="s">
        <v>116</v>
      </c>
      <c r="I26" s="9" t="s">
        <v>117</v>
      </c>
      <c r="J26" s="9" t="s">
        <v>118</v>
      </c>
    </row>
    <row r="27" ht="21.75" customHeight="1">
      <c r="A27" s="4"/>
      <c r="B27" s="4"/>
      <c r="C27" s="4">
        <f>rows(G18:G28)</f>
        <v>11</v>
      </c>
      <c r="D27" s="10" t="s">
        <v>119</v>
      </c>
      <c r="E27" s="4"/>
      <c r="F27" s="4"/>
      <c r="G27" s="9"/>
      <c r="H27" s="9" t="s">
        <v>120</v>
      </c>
      <c r="I27" s="9" t="s">
        <v>121</v>
      </c>
      <c r="J27" s="9" t="s">
        <v>122</v>
      </c>
    </row>
    <row r="28" ht="21.75" customHeight="1">
      <c r="A28" s="4"/>
      <c r="B28" s="4"/>
      <c r="C28" s="4">
        <f>ROWS(B3:B15)+ROWS(H3:H13)+ROWS(B18:B22)</f>
        <v>29</v>
      </c>
      <c r="D28" s="10" t="s">
        <v>123</v>
      </c>
      <c r="E28" s="4"/>
      <c r="F28" s="4"/>
      <c r="G28" s="9"/>
      <c r="H28" s="9" t="s">
        <v>124</v>
      </c>
      <c r="I28" s="9" t="s">
        <v>125</v>
      </c>
      <c r="J28" s="9" t="s">
        <v>126</v>
      </c>
    </row>
    <row r="29" ht="21.75" customHeight="1">
      <c r="A29" s="4"/>
      <c r="B29" s="4"/>
      <c r="C29" s="4">
        <f>sum(C27:C28)</f>
        <v>40</v>
      </c>
      <c r="D29" s="10" t="s">
        <v>127</v>
      </c>
      <c r="E29" s="4"/>
      <c r="F29" s="4"/>
      <c r="G29" s="9"/>
      <c r="H29" s="9" t="s">
        <v>128</v>
      </c>
      <c r="I29" s="9" t="s">
        <v>129</v>
      </c>
      <c r="J29" s="9" t="s">
        <v>130</v>
      </c>
    </row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G1:J1"/>
    <mergeCell ref="A17:D17"/>
    <mergeCell ref="G17:J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2026-04-13T06:47:55Z</dcterms:created>
  <dc:creator>openpyxl</dc:creator>
</cp:coreProperties>
</file>